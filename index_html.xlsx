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_매출" sheetId="1" state="visible" r:id="rId1"/>
    <sheet xmlns:r="http://schemas.openxmlformats.org/officeDocument/2006/relationships" name="INPUT_비용" sheetId="2" state="visible" r:id="rId2"/>
    <sheet xmlns:r="http://schemas.openxmlformats.org/officeDocument/2006/relationships" name="P&amp;L" sheetId="3" state="visible" r:id="rId3"/>
    <sheet xmlns:r="http://schemas.openxmlformats.org/officeDocument/2006/relationships" name="대시보드" sheetId="4" state="visible" r:id="rId4"/>
    <sheet xmlns:r="http://schemas.openxmlformats.org/officeDocument/2006/relationships" name="월별아카이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2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FFFFFF"/>
      <sz val="13"/>
    </font>
    <font>
      <name val="Arial"/>
      <i val="1"/>
      <color rgb="FF555555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Arial"/>
      <color rgb="FF0000FF"/>
      <sz val="10"/>
    </font>
    <font>
      <name val="Arial"/>
      <b val="1"/>
      <color rgb="FF000000"/>
      <sz val="10"/>
    </font>
    <font>
      <name val="Arial"/>
      <b val="1"/>
      <color rgb="FF2E7D32"/>
      <sz val="11"/>
    </font>
    <font>
      <name val="Arial"/>
      <b val="1"/>
      <color rgb="FF2E7D32"/>
      <sz val="10"/>
    </font>
    <font>
      <name val="Arial"/>
      <b val="1"/>
      <color rgb="FF2E7D32"/>
      <sz val="12"/>
    </font>
    <font>
      <name val="Arial"/>
      <b val="1"/>
      <color rgb="FFB71C1C"/>
      <sz val="10"/>
    </font>
    <font>
      <name val="Arial"/>
      <color rgb="FF006400"/>
      <sz val="10"/>
    </font>
    <font>
      <name val="Arial"/>
      <b val="1"/>
      <color rgb="FF424242"/>
      <sz val="10"/>
    </font>
    <font>
      <name val="Arial"/>
      <b val="1"/>
      <color rgb="FF1565C0"/>
      <sz val="11"/>
    </font>
    <font>
      <name val="Arial"/>
      <b val="1"/>
      <color rgb="FF1565C0"/>
      <sz val="10"/>
    </font>
    <font>
      <name val="Arial"/>
      <b val="1"/>
      <color rgb="FF0F6E56"/>
      <sz val="11"/>
    </font>
    <font>
      <name val="Arial"/>
      <b val="1"/>
      <color rgb="FF0F6E56"/>
      <sz val="10"/>
    </font>
    <font>
      <name val="Arial"/>
      <b val="1"/>
      <color rgb="FF4527A0"/>
      <sz val="11"/>
    </font>
    <font>
      <name val="Arial"/>
      <b val="1"/>
      <color rgb="FF4527A0"/>
      <sz val="10"/>
    </font>
    <font>
      <name val="Arial"/>
      <b val="1"/>
      <color rgb="FF7B3811"/>
      <sz val="11"/>
    </font>
    <font>
      <name val="Arial"/>
      <b val="1"/>
      <color rgb="FF7B3811"/>
      <sz val="10"/>
    </font>
    <font>
      <name val="Arial"/>
      <b val="1"/>
      <color rgb="FFB71C1C"/>
      <sz val="11"/>
    </font>
    <font>
      <name val="Arial"/>
      <b val="1"/>
      <color rgb="FF424242"/>
      <sz val="11"/>
    </font>
    <font>
      <name val="Arial"/>
      <b val="1"/>
      <color rgb="FF0D47A1"/>
      <sz val="11"/>
    </font>
    <font>
      <name val="Arial"/>
      <b val="1"/>
      <color rgb="FF0D47A1"/>
      <sz val="10"/>
    </font>
    <font>
      <name val="Arial"/>
      <b val="1"/>
      <color rgb="FF004D40"/>
      <sz val="10"/>
    </font>
    <font>
      <name val="Arial"/>
      <b val="1"/>
      <color rgb="FF004D40"/>
      <sz val="11"/>
    </font>
    <font>
      <name val="Arial"/>
      <b val="1"/>
      <color rgb="FF004D40"/>
      <sz val="12"/>
    </font>
    <font>
      <name val="Arial"/>
      <color rgb="FF004D40"/>
      <sz val="10"/>
    </font>
    <font>
      <name val="Arial"/>
      <b val="1"/>
      <color rgb="FF1B5E20"/>
      <sz val="10"/>
    </font>
    <font>
      <name val="Arial"/>
      <b val="1"/>
      <color rgb="FF1B5E20"/>
      <sz val="12"/>
    </font>
    <font>
      <name val="Arial"/>
      <b val="1"/>
      <color rgb="FF1B5E20"/>
      <sz val="13"/>
    </font>
    <font>
      <name val="Arial"/>
      <color rgb="FF1B5E20"/>
      <sz val="10"/>
    </font>
    <font>
      <name val="Arial"/>
      <b val="1"/>
      <color rgb="FF000000"/>
      <sz val="11"/>
    </font>
    <font>
      <name val="Arial"/>
      <b val="1"/>
      <color rgb="FF006400"/>
      <sz val="10"/>
    </font>
    <font>
      <name val="Arial"/>
      <b val="1"/>
      <color rgb="FF854F0B"/>
      <sz val="11"/>
    </font>
    <font>
      <name val="Arial"/>
      <b val="1"/>
      <color rgb="FFFFFFFF"/>
      <sz val="14"/>
    </font>
    <font>
      <name val="Arial"/>
      <color rgb="FFFFFFFF"/>
      <sz val="10"/>
    </font>
    <font>
      <name val="Arial"/>
      <b val="1"/>
      <color rgb="FFFFFFFF"/>
      <sz val="15"/>
    </font>
    <font>
      <name val="Arial"/>
      <b val="1"/>
      <color rgb="FFFFFFFF"/>
      <sz val="9"/>
    </font>
    <font>
      <name val="Arial"/>
      <color rgb="FF006400"/>
      <sz val="9"/>
    </font>
  </fonts>
  <fills count="33">
    <fill>
      <patternFill/>
    </fill>
    <fill>
      <patternFill patternType="gray125"/>
    </fill>
    <fill>
      <patternFill patternType="solid">
        <fgColor rgb="FF1B3A5C"/>
      </patternFill>
    </fill>
    <fill>
      <patternFill patternType="solid">
        <fgColor rgb="FFF0F0F0"/>
      </patternFill>
    </fill>
    <fill>
      <patternFill patternType="solid">
        <fgColor rgb="FF2E6DA4"/>
      </patternFill>
    </fill>
    <fill>
      <patternFill patternType="solid">
        <fgColor rgb="FF1565C0"/>
      </patternFill>
    </fill>
    <fill>
      <patternFill patternType="solid">
        <fgColor rgb="FF90CAF9"/>
      </patternFill>
    </fill>
    <fill>
      <patternFill patternType="solid">
        <fgColor rgb="FFE3F2FD"/>
      </patternFill>
    </fill>
    <fill>
      <patternFill patternType="solid">
        <fgColor rgb="FFFFFF99"/>
      </patternFill>
    </fill>
    <fill>
      <patternFill patternType="solid">
        <fgColor rgb="FF0F6E56"/>
      </patternFill>
    </fill>
    <fill>
      <patternFill patternType="solid">
        <fgColor rgb="FF80CBC4"/>
      </patternFill>
    </fill>
    <fill>
      <patternFill patternType="solid">
        <fgColor rgb="FFE0F2F1"/>
      </patternFill>
    </fill>
    <fill>
      <patternFill patternType="solid">
        <fgColor rgb="FF4527A0"/>
      </patternFill>
    </fill>
    <fill>
      <patternFill patternType="solid">
        <fgColor rgb="FFEDE7F6"/>
      </patternFill>
    </fill>
    <fill>
      <patternFill patternType="solid">
        <fgColor rgb="FFC8E6C9"/>
      </patternFill>
    </fill>
    <fill>
      <patternFill patternType="solid">
        <fgColor rgb="FF7B3811"/>
      </patternFill>
    </fill>
    <fill>
      <patternFill patternType="solid">
        <fgColor rgb="FFFBE9E7"/>
      </patternFill>
    </fill>
    <fill>
      <patternFill patternType="solid">
        <fgColor rgb="FF424242"/>
      </patternFill>
    </fill>
    <fill>
      <patternFill patternType="solid">
        <fgColor rgb="FFFAFAFA"/>
      </patternFill>
    </fill>
    <fill>
      <patternFill patternType="solid">
        <fgColor rgb="FFB71C1C"/>
      </patternFill>
    </fill>
    <fill>
      <patternFill patternType="solid">
        <fgColor rgb="FFEF9A9A"/>
      </patternFill>
    </fill>
    <fill>
      <patternFill patternType="solid">
        <fgColor rgb="FFFCE4EC"/>
      </patternFill>
    </fill>
    <fill>
      <patternFill patternType="solid">
        <fgColor rgb="FFB0BEC5"/>
      </patternFill>
    </fill>
    <fill>
      <patternFill patternType="solid">
        <fgColor rgb="FFF5F5F5"/>
      </patternFill>
    </fill>
    <fill>
      <patternFill patternType="solid">
        <fgColor rgb="FF0D47A1"/>
      </patternFill>
    </fill>
    <fill>
      <patternFill patternType="solid">
        <fgColor rgb="FF90A4AE"/>
      </patternFill>
    </fill>
    <fill>
      <patternFill patternType="solid">
        <fgColor rgb="FFE8EAF6"/>
      </patternFill>
    </fill>
    <fill>
      <patternFill patternType="solid">
        <fgColor rgb="FFCE93D8"/>
      </patternFill>
    </fill>
    <fill>
      <patternFill patternType="solid">
        <fgColor rgb="FFE0F7FA"/>
      </patternFill>
    </fill>
    <fill>
      <patternFill patternType="solid">
        <fgColor rgb="FFE8F5E9"/>
      </patternFill>
    </fill>
    <fill>
      <patternFill patternType="solid">
        <fgColor rgb="FF2E7D32"/>
      </patternFill>
    </fill>
    <fill>
      <patternFill patternType="solid">
        <fgColor rgb="FF004D40"/>
      </patternFill>
    </fill>
    <fill>
      <patternFill patternType="solid">
        <fgColor rgb="FF1B5E2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9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3" fontId="6" fillId="8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right" vertical="center"/>
    </xf>
    <xf numFmtId="164" fontId="6" fillId="8" borderId="1" applyAlignment="1" pivotButton="0" quotePrefix="0" xfId="0">
      <alignment horizontal="right" vertical="center"/>
    </xf>
    <xf numFmtId="0" fontId="0" fillId="7" borderId="1" pivotButton="0" quotePrefix="0" xfId="0"/>
    <xf numFmtId="3" fontId="7" fillId="7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right" vertical="center"/>
    </xf>
    <xf numFmtId="3" fontId="1" fillId="5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5" fillId="11" borderId="1" applyAlignment="1" pivotButton="0" quotePrefix="0" xfId="0">
      <alignment horizontal="left" vertical="center"/>
    </xf>
    <xf numFmtId="0" fontId="0" fillId="11" borderId="1" pivotButton="0" quotePrefix="0" xfId="0"/>
    <xf numFmtId="3" fontId="7" fillId="11" borderId="1" applyAlignment="1" pivotButton="0" quotePrefix="0" xfId="0">
      <alignment horizontal="right" vertical="center"/>
    </xf>
    <xf numFmtId="3" fontId="5" fillId="11" borderId="1" applyAlignment="1" pivotButton="0" quotePrefix="0" xfId="0">
      <alignment horizontal="right" vertical="center"/>
    </xf>
    <xf numFmtId="0" fontId="1" fillId="9" borderId="1" applyAlignment="1" pivotButton="0" quotePrefix="0" xfId="0">
      <alignment horizontal="right" vertical="center"/>
    </xf>
    <xf numFmtId="3" fontId="1" fillId="9" borderId="1" applyAlignment="1" pivotButton="0" quotePrefix="0" xfId="0">
      <alignment horizontal="right" vertical="center"/>
    </xf>
    <xf numFmtId="0" fontId="1" fillId="12" borderId="1" applyAlignment="1" pivotButton="0" quotePrefix="0" xfId="0">
      <alignment horizontal="left" vertical="center"/>
    </xf>
    <xf numFmtId="0" fontId="5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" fillId="12" borderId="1" applyAlignment="1" pivotButton="0" quotePrefix="0" xfId="0">
      <alignment horizontal="right" vertical="center"/>
    </xf>
    <xf numFmtId="3" fontId="1" fillId="12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right" vertical="center"/>
    </xf>
    <xf numFmtId="3" fontId="10" fillId="14" borderId="1" applyAlignment="1" pivotButton="0" quotePrefix="0" xfId="0">
      <alignment horizontal="right" vertical="center"/>
    </xf>
    <xf numFmtId="0" fontId="1" fillId="15" borderId="1" applyAlignment="1" pivotButton="0" quotePrefix="0" xfId="0">
      <alignment horizontal="left" vertical="center"/>
    </xf>
    <xf numFmtId="0" fontId="5" fillId="16" borderId="1" applyAlignment="1" pivotButton="0" quotePrefix="0" xfId="0">
      <alignment horizontal="left" vertical="center"/>
    </xf>
    <xf numFmtId="0" fontId="0" fillId="16" borderId="1" pivotButton="0" quotePrefix="0" xfId="0"/>
    <xf numFmtId="0" fontId="1" fillId="15" borderId="1" applyAlignment="1" pivotButton="0" quotePrefix="0" xfId="0">
      <alignment horizontal="right" vertical="center"/>
    </xf>
    <xf numFmtId="3" fontId="1" fillId="15" borderId="1" applyAlignment="1" pivotButton="0" quotePrefix="0" xfId="0">
      <alignment horizontal="right" vertical="center"/>
    </xf>
    <xf numFmtId="0" fontId="1" fillId="17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left" vertical="center"/>
    </xf>
    <xf numFmtId="0" fontId="0" fillId="18" borderId="1" pivotButton="0" quotePrefix="0" xfId="0"/>
    <xf numFmtId="0" fontId="2" fillId="2" borderId="1" applyAlignment="1" pivotButton="0" quotePrefix="0" xfId="0">
      <alignment horizontal="right" vertical="center"/>
    </xf>
    <xf numFmtId="3" fontId="2" fillId="2" borderId="1" applyAlignment="1" pivotButton="0" quotePrefix="0" xfId="0">
      <alignment horizontal="right" vertical="center"/>
    </xf>
    <xf numFmtId="0" fontId="1" fillId="19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left" vertical="center"/>
    </xf>
    <xf numFmtId="0" fontId="0" fillId="21" borderId="1" pivotButton="0" quotePrefix="0" xfId="0"/>
    <xf numFmtId="0" fontId="11" fillId="21" borderId="1" applyAlignment="1" pivotButton="0" quotePrefix="0" xfId="0">
      <alignment horizontal="right" vertical="center"/>
    </xf>
    <xf numFmtId="3" fontId="7" fillId="21" borderId="1" applyAlignment="1" pivotButton="0" quotePrefix="0" xfId="0">
      <alignment horizontal="right" vertical="center"/>
    </xf>
    <xf numFmtId="0" fontId="3" fillId="21" borderId="1" applyAlignment="1" pivotButton="0" quotePrefix="0" xfId="0">
      <alignment horizontal="left" vertical="center"/>
    </xf>
    <xf numFmtId="3" fontId="12" fillId="21" borderId="1" applyAlignment="1" pivotButton="0" quotePrefix="0" xfId="0">
      <alignment horizontal="right" vertical="center"/>
    </xf>
    <xf numFmtId="0" fontId="1" fillId="19" borderId="1" applyAlignment="1" pivotButton="0" quotePrefix="0" xfId="0">
      <alignment horizontal="right" vertical="center"/>
    </xf>
    <xf numFmtId="3" fontId="1" fillId="19" borderId="1" applyAlignment="1" pivotButton="0" quotePrefix="0" xfId="0">
      <alignment horizontal="right" vertical="center"/>
    </xf>
    <xf numFmtId="0" fontId="4" fillId="22" borderId="1" applyAlignment="1" pivotButton="0" quotePrefix="0" xfId="0">
      <alignment horizontal="left" vertical="center"/>
    </xf>
    <xf numFmtId="0" fontId="5" fillId="23" borderId="1" applyAlignment="1" pivotButton="0" quotePrefix="0" xfId="0">
      <alignment horizontal="left" vertical="center"/>
    </xf>
    <xf numFmtId="0" fontId="0" fillId="23" borderId="1" pivotButton="0" quotePrefix="0" xfId="0"/>
    <xf numFmtId="0" fontId="13" fillId="23" borderId="1" applyAlignment="1" pivotButton="0" quotePrefix="0" xfId="0">
      <alignment horizontal="right" vertical="center"/>
    </xf>
    <xf numFmtId="3" fontId="7" fillId="23" borderId="1" applyAlignment="1" pivotButton="0" quotePrefix="0" xfId="0">
      <alignment horizontal="right" vertical="center"/>
    </xf>
    <xf numFmtId="0" fontId="1" fillId="17" borderId="1" applyAlignment="1" pivotButton="0" quotePrefix="0" xfId="0">
      <alignment horizontal="right" vertical="center"/>
    </xf>
    <xf numFmtId="3" fontId="1" fillId="17" borderId="1" applyAlignment="1" pivotButton="0" quotePrefix="0" xfId="0">
      <alignment horizontal="right" vertical="center"/>
    </xf>
    <xf numFmtId="0" fontId="1" fillId="24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left" vertical="center"/>
    </xf>
    <xf numFmtId="0" fontId="5" fillId="26" borderId="1" applyAlignment="1" pivotButton="0" quotePrefix="0" xfId="0">
      <alignment horizontal="left" vertical="center"/>
    </xf>
    <xf numFmtId="0" fontId="0" fillId="26" borderId="1" pivotButton="0" quotePrefix="0" xfId="0"/>
    <xf numFmtId="0" fontId="1" fillId="24" borderId="1" applyAlignment="1" pivotButton="0" quotePrefix="0" xfId="0">
      <alignment horizontal="right" vertical="center"/>
    </xf>
    <xf numFmtId="3" fontId="1" fillId="24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3" fontId="12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15" fillId="7" borderId="1" applyAlignment="1" pivotButton="0" quotePrefix="0" xfId="0">
      <alignment horizontal="right" vertical="center"/>
    </xf>
    <xf numFmtId="0" fontId="16" fillId="10" borderId="1" applyAlignment="1" pivotButton="0" quotePrefix="0" xfId="0">
      <alignment horizontal="left" vertical="center"/>
    </xf>
    <xf numFmtId="3" fontId="12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3" fontId="17" fillId="11" borderId="1" applyAlignment="1" pivotButton="0" quotePrefix="0" xfId="0">
      <alignment horizontal="right" vertical="center"/>
    </xf>
    <xf numFmtId="0" fontId="18" fillId="27" borderId="1" applyAlignment="1" pivotButton="0" quotePrefix="0" xfId="0">
      <alignment horizontal="left" vertical="center"/>
    </xf>
    <xf numFmtId="3" fontId="12" fillId="13" borderId="1" applyAlignment="1" pivotButton="0" quotePrefix="0" xfId="0">
      <alignment horizontal="right" vertical="center"/>
    </xf>
    <xf numFmtId="0" fontId="7" fillId="13" borderId="1" applyAlignment="1" pivotButton="0" quotePrefix="0" xfId="0">
      <alignment horizontal="left" vertical="center"/>
    </xf>
    <xf numFmtId="3" fontId="19" fillId="13" borderId="1" applyAlignment="1" pivotButton="0" quotePrefix="0" xfId="0">
      <alignment horizontal="right" vertical="center"/>
    </xf>
    <xf numFmtId="0" fontId="8" fillId="14" borderId="1" applyAlignment="1" pivotButton="0" quotePrefix="0" xfId="0">
      <alignment horizontal="left" vertical="center"/>
    </xf>
    <xf numFmtId="0" fontId="20" fillId="16" borderId="1" applyAlignment="1" pivotButton="0" quotePrefix="0" xfId="0">
      <alignment horizontal="left" vertical="center"/>
    </xf>
    <xf numFmtId="3" fontId="12" fillId="16" borderId="1" applyAlignment="1" pivotButton="0" quotePrefix="0" xfId="0">
      <alignment horizontal="right" vertical="center"/>
    </xf>
    <xf numFmtId="0" fontId="7" fillId="16" borderId="1" applyAlignment="1" pivotButton="0" quotePrefix="0" xfId="0">
      <alignment horizontal="left" vertical="center"/>
    </xf>
    <xf numFmtId="3" fontId="21" fillId="16" borderId="1" applyAlignment="1" pivotButton="0" quotePrefix="0" xfId="0">
      <alignment horizontal="right" vertical="center"/>
    </xf>
    <xf numFmtId="3" fontId="12" fillId="18" borderId="1" applyAlignment="1" pivotButton="0" quotePrefix="0" xfId="0">
      <alignment horizontal="right" vertical="center"/>
    </xf>
    <xf numFmtId="0" fontId="22" fillId="20" borderId="1" applyAlignment="1" pivotButton="0" quotePrefix="0" xfId="0">
      <alignment horizontal="left" vertical="center"/>
    </xf>
    <xf numFmtId="0" fontId="7" fillId="21" borderId="1" applyAlignment="1" pivotButton="0" quotePrefix="0" xfId="0">
      <alignment horizontal="left" vertical="center"/>
    </xf>
    <xf numFmtId="3" fontId="11" fillId="21" borderId="1" applyAlignment="1" pivotButton="0" quotePrefix="0" xfId="0">
      <alignment horizontal="right" vertical="center"/>
    </xf>
    <xf numFmtId="0" fontId="23" fillId="22" borderId="1" applyAlignment="1" pivotButton="0" quotePrefix="0" xfId="0">
      <alignment horizontal="left" vertical="center"/>
    </xf>
    <xf numFmtId="3" fontId="12" fillId="23" borderId="1" applyAlignment="1" pivotButton="0" quotePrefix="0" xfId="0">
      <alignment horizontal="right" vertical="center"/>
    </xf>
    <xf numFmtId="0" fontId="7" fillId="23" borderId="1" applyAlignment="1" pivotButton="0" quotePrefix="0" xfId="0">
      <alignment horizontal="left" vertical="center"/>
    </xf>
    <xf numFmtId="3" fontId="13" fillId="23" borderId="1" applyAlignment="1" pivotButton="0" quotePrefix="0" xfId="0">
      <alignment horizontal="right" vertical="center"/>
    </xf>
    <xf numFmtId="0" fontId="24" fillId="25" borderId="1" applyAlignment="1" pivotButton="0" quotePrefix="0" xfId="0">
      <alignment horizontal="left" vertical="center"/>
    </xf>
    <xf numFmtId="3" fontId="12" fillId="26" borderId="1" applyAlignment="1" pivotButton="0" quotePrefix="0" xfId="0">
      <alignment horizontal="right" vertical="center"/>
    </xf>
    <xf numFmtId="0" fontId="7" fillId="26" borderId="1" applyAlignment="1" pivotButton="0" quotePrefix="0" xfId="0">
      <alignment horizontal="left" vertical="center"/>
    </xf>
    <xf numFmtId="3" fontId="25" fillId="26" borderId="1" applyAlignment="1" pivotButton="0" quotePrefix="0" xfId="0">
      <alignment horizontal="right" vertical="center"/>
    </xf>
    <xf numFmtId="0" fontId="2" fillId="19" borderId="1" applyAlignment="1" pivotButton="0" quotePrefix="0" xfId="0">
      <alignment horizontal="left" vertical="center"/>
    </xf>
    <xf numFmtId="3" fontId="2" fillId="19" borderId="1" applyAlignment="1" pivotButton="0" quotePrefix="0" xfId="0">
      <alignment horizontal="right" vertical="center"/>
    </xf>
    <xf numFmtId="0" fontId="27" fillId="28" borderId="1" applyAlignment="1" pivotButton="0" quotePrefix="0" xfId="0">
      <alignment horizontal="left" vertical="center"/>
    </xf>
    <xf numFmtId="3" fontId="28" fillId="28" borderId="1" applyAlignment="1" pivotButton="0" quotePrefix="0" xfId="0">
      <alignment horizontal="right" vertical="center"/>
    </xf>
    <xf numFmtId="0" fontId="5" fillId="28" borderId="1" applyAlignment="1" pivotButton="0" quotePrefix="0" xfId="0">
      <alignment horizontal="left" vertical="center"/>
    </xf>
    <xf numFmtId="165" fontId="29" fillId="28" borderId="1" applyAlignment="1" pivotButton="0" quotePrefix="0" xfId="0">
      <alignment horizontal="right" vertical="center"/>
    </xf>
    <xf numFmtId="0" fontId="31" fillId="29" borderId="1" applyAlignment="1" pivotButton="0" quotePrefix="0" xfId="0">
      <alignment horizontal="left" vertical="center"/>
    </xf>
    <xf numFmtId="3" fontId="32" fillId="29" borderId="1" applyAlignment="1" pivotButton="0" quotePrefix="0" xfId="0">
      <alignment horizontal="right" vertical="center"/>
    </xf>
    <xf numFmtId="0" fontId="5" fillId="29" borderId="1" applyAlignment="1" pivotButton="0" quotePrefix="0" xfId="0">
      <alignment horizontal="left" vertical="center"/>
    </xf>
    <xf numFmtId="165" fontId="33" fillId="29" borderId="1" applyAlignment="1" pivotButton="0" quotePrefix="0" xfId="0">
      <alignment horizontal="right" vertical="center"/>
    </xf>
    <xf numFmtId="0" fontId="34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3" fontId="12" fillId="8" borderId="1" applyAlignment="1" pivotButton="0" quotePrefix="0" xfId="0">
      <alignment horizontal="right" vertical="center"/>
    </xf>
    <xf numFmtId="165" fontId="12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3" fontId="36" fillId="8" borderId="1" applyAlignment="1" pivotButton="0" quotePrefix="0" xfId="0">
      <alignment horizontal="right" vertical="center"/>
    </xf>
    <xf numFmtId="49" fontId="34" fillId="8" borderId="1" applyAlignment="1" pivotButton="0" quotePrefix="0" xfId="0">
      <alignment horizontal="right" vertical="center"/>
    </xf>
    <xf numFmtId="0" fontId="37" fillId="2" borderId="1" applyAlignment="1" pivotButton="0" quotePrefix="0" xfId="0">
      <alignment horizontal="center" vertical="center"/>
    </xf>
    <xf numFmtId="0" fontId="38" fillId="2" borderId="1" applyAlignment="1" pivotButton="0" quotePrefix="0" xfId="0">
      <alignment horizontal="center" vertical="center"/>
    </xf>
    <xf numFmtId="0" fontId="38" fillId="30" borderId="1" applyAlignment="1" pivotButton="0" quotePrefix="0" xfId="0">
      <alignment horizontal="center" vertical="center"/>
    </xf>
    <xf numFmtId="3" fontId="39" fillId="2" borderId="1" applyAlignment="1" pivotButton="0" quotePrefix="0" xfId="0">
      <alignment horizontal="center" vertical="center"/>
    </xf>
    <xf numFmtId="3" fontId="39" fillId="30" borderId="1" applyAlignment="1" pivotButton="0" quotePrefix="0" xfId="0">
      <alignment horizontal="center" vertical="center"/>
    </xf>
    <xf numFmtId="0" fontId="38" fillId="31" borderId="1" applyAlignment="1" pivotButton="0" quotePrefix="0" xfId="0">
      <alignment horizontal="center" vertical="center"/>
    </xf>
    <xf numFmtId="3" fontId="39" fillId="31" borderId="1" applyAlignment="1" pivotButton="0" quotePrefix="0" xfId="0">
      <alignment horizontal="center" vertical="center"/>
    </xf>
    <xf numFmtId="165" fontId="39" fillId="31" borderId="1" applyAlignment="1" pivotButton="0" quotePrefix="0" xfId="0">
      <alignment horizontal="center" vertical="center"/>
    </xf>
    <xf numFmtId="0" fontId="38" fillId="32" borderId="1" applyAlignment="1" pivotButton="0" quotePrefix="0" xfId="0">
      <alignment horizontal="center" vertical="center"/>
    </xf>
    <xf numFmtId="3" fontId="39" fillId="32" borderId="1" applyAlignment="1" pivotButton="0" quotePrefix="0" xfId="0">
      <alignment horizontal="center" vertical="center"/>
    </xf>
    <xf numFmtId="165" fontId="39" fillId="32" borderId="1" applyAlignment="1" pivotButton="0" quotePrefix="0" xfId="0">
      <alignment horizontal="center" vertical="center"/>
    </xf>
    <xf numFmtId="165" fontId="39" fillId="2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49" fontId="34" fillId="18" borderId="1" applyAlignment="1" pivotButton="0" quotePrefix="0" xfId="0">
      <alignment horizontal="center" vertical="center"/>
    </xf>
    <xf numFmtId="0" fontId="40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" fontId="6" fillId="8" borderId="1" applyAlignment="1" pivotButton="0" quotePrefix="0" xfId="0">
      <alignment horizontal="right" vertical="center"/>
    </xf>
    <xf numFmtId="49" fontId="6" fillId="8" borderId="1" applyAlignment="1" pivotButton="0" quotePrefix="0" xfId="0">
      <alignment horizontal="right" vertical="center"/>
    </xf>
    <xf numFmtId="3" fontId="41" fillId="18" borderId="1" applyAlignment="1" pivotButton="0" quotePrefix="0" xfId="0">
      <alignment horizontal="right" vertical="center"/>
    </xf>
    <xf numFmtId="165" fontId="41" fillId="18" borderId="1" applyAlignment="1" pivotButton="0" quotePrefix="0" xfId="0">
      <alignment horizontal="right" vertical="center"/>
    </xf>
    <xf numFmtId="49" fontId="41" fillId="1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6" customWidth="1" min="4" max="4"/>
    <col width="22" customWidth="1" min="5" max="5"/>
    <col width="16" customWidth="1" min="6" max="6"/>
    <col width="18" customWidth="1" min="7" max="7"/>
  </cols>
  <sheetData>
    <row r="1" ht="28" customHeight="1">
      <c r="A1" s="1" t="inlineStr">
        <is>
          <t>피트니스 센터 P&amp;L 시뮬레이터 — 매출 INPUT</t>
        </is>
      </c>
    </row>
    <row r="2">
      <c r="A2" s="2" t="inlineStr">
        <is>
          <t>※ 파란 글씨 셀에 수동 입력   |   검정 셀은 자동 계산   |   노란 배경 = 입력 필요</t>
        </is>
      </c>
    </row>
    <row r="3" ht="18" customHeight="1">
      <c r="A3" s="3" t="inlineStr">
        <is>
          <t>항목 구분</t>
        </is>
      </c>
      <c r="B3" s="3" t="inlineStr">
        <is>
          <t>세부 항목</t>
        </is>
      </c>
      <c r="C3" s="3" t="inlineStr">
        <is>
          <t>변수 A</t>
        </is>
      </c>
      <c r="D3" s="3" t="inlineStr">
        <is>
          <t>값 A</t>
        </is>
      </c>
      <c r="E3" s="3" t="inlineStr">
        <is>
          <t>변수 B</t>
        </is>
      </c>
      <c r="F3" s="3" t="inlineStr">
        <is>
          <t>값 B</t>
        </is>
      </c>
      <c r="G3" s="3" t="inlineStr">
        <is>
          <t>결과/소계</t>
        </is>
      </c>
    </row>
    <row r="4" ht="20" customHeight="1">
      <c r="A4" s="4" t="inlineStr">
        <is>
          <t>■  MBS 매출 (회원권)</t>
        </is>
      </c>
    </row>
    <row r="5">
      <c r="B5" s="5" t="inlineStr">
        <is>
          <t>① 구독 매출</t>
        </is>
      </c>
    </row>
    <row r="6">
      <c r="B6" s="6" t="inlineStr">
        <is>
          <t xml:space="preserve">  구독 신규 매출</t>
        </is>
      </c>
      <c r="C6" s="6" t="inlineStr">
        <is>
          <t>신규 구독자 (명)</t>
        </is>
      </c>
      <c r="D6" s="7" t="n">
        <v>30</v>
      </c>
      <c r="E6" s="6" t="inlineStr">
        <is>
          <t>객단가 (원)</t>
        </is>
      </c>
      <c r="F6" s="7" t="n">
        <v>85000</v>
      </c>
      <c r="G6" s="8">
        <f>D6*F6</f>
        <v/>
      </c>
    </row>
    <row r="7">
      <c r="B7" s="6" t="inlineStr">
        <is>
          <t xml:space="preserve">  구독 연장 매출</t>
        </is>
      </c>
      <c r="C7" s="6" t="inlineStr">
        <is>
          <t>만료 대상자 (명)</t>
        </is>
      </c>
      <c r="D7" s="7" t="n">
        <v>180</v>
      </c>
      <c r="E7" s="6" t="inlineStr">
        <is>
          <t>잔존율 (%)</t>
        </is>
      </c>
      <c r="F7" s="9" t="n">
        <v>82</v>
      </c>
      <c r="G7" s="10" t="n"/>
    </row>
    <row r="8">
      <c r="B8" s="6" t="inlineStr"/>
      <c r="C8" s="6" t="inlineStr">
        <is>
          <t>연장 객단가 (원)</t>
        </is>
      </c>
      <c r="D8" s="7" t="n">
        <v>85000</v>
      </c>
      <c r="E8" s="10" t="n"/>
      <c r="F8" s="10" t="n"/>
      <c r="G8" s="11">
        <f>ROUND(D7*(F7/100),0)*D8</f>
        <v/>
      </c>
    </row>
    <row r="9">
      <c r="B9" s="5" t="inlineStr">
        <is>
          <t>② 기간 매출</t>
        </is>
      </c>
    </row>
    <row r="10">
      <c r="B10" s="6" t="inlineStr">
        <is>
          <t xml:space="preserve">  기간권 신규 매출</t>
        </is>
      </c>
      <c r="C10" s="6" t="inlineStr">
        <is>
          <t>신규 결제자 (명)</t>
        </is>
      </c>
      <c r="D10" s="7" t="n">
        <v>25</v>
      </c>
      <c r="E10" s="6" t="inlineStr">
        <is>
          <t>객단가 (원)</t>
        </is>
      </c>
      <c r="F10" s="7" t="n">
        <v>180000</v>
      </c>
      <c r="G10" s="8">
        <f>D10*F10</f>
        <v/>
      </c>
    </row>
    <row r="11">
      <c r="B11" s="6" t="inlineStr">
        <is>
          <t xml:space="preserve">  기간권 재등록 매출</t>
        </is>
      </c>
      <c r="C11" s="6" t="inlineStr">
        <is>
          <t>재등록 대상자 (명)</t>
        </is>
      </c>
      <c r="D11" s="7" t="n">
        <v>60</v>
      </c>
      <c r="E11" s="6" t="inlineStr">
        <is>
          <t>재등록율 (%)</t>
        </is>
      </c>
      <c r="F11" s="9" t="n">
        <v>65</v>
      </c>
      <c r="G11" s="10" t="n"/>
    </row>
    <row r="12">
      <c r="B12" s="6" t="inlineStr"/>
      <c r="C12" s="6" t="inlineStr">
        <is>
          <t>재등록 객단가 (원)</t>
        </is>
      </c>
      <c r="D12" s="7" t="n">
        <v>160000</v>
      </c>
      <c r="E12" s="10" t="n"/>
      <c r="F12" s="10" t="n"/>
      <c r="G12" s="11">
        <f>ROUND(D11*(F11/100),0)*D12</f>
        <v/>
      </c>
    </row>
    <row r="13">
      <c r="B13" s="5" t="inlineStr">
        <is>
          <t>③ 1일권</t>
        </is>
      </c>
    </row>
    <row r="14">
      <c r="B14" s="6" t="inlineStr">
        <is>
          <t xml:space="preserve">  1일권 매출</t>
        </is>
      </c>
      <c r="C14" s="6" t="inlineStr">
        <is>
          <t>이용자 수 (명)</t>
        </is>
      </c>
      <c r="D14" s="7" t="n">
        <v>40</v>
      </c>
      <c r="E14" s="6" t="inlineStr">
        <is>
          <t>객단가 (원)</t>
        </is>
      </c>
      <c r="F14" s="7" t="n">
        <v>12000</v>
      </c>
      <c r="G14" s="8">
        <f>D14*F14</f>
        <v/>
      </c>
    </row>
    <row r="15">
      <c r="B15" s="5" t="inlineStr">
        <is>
          <t>④ 법인 / 옵션 (수동 입력)</t>
        </is>
      </c>
    </row>
    <row r="16">
      <c r="B16" s="6" t="inlineStr">
        <is>
          <t xml:space="preserve">  법인 매출</t>
        </is>
      </c>
      <c r="C16" s="10" t="n"/>
      <c r="D16" s="10" t="n"/>
      <c r="E16" s="10" t="n"/>
      <c r="F16" s="10" t="n"/>
      <c r="G16" s="7" t="n">
        <v>0</v>
      </c>
    </row>
    <row r="17">
      <c r="B17" s="6" t="inlineStr">
        <is>
          <t xml:space="preserve">  옵션 매출</t>
        </is>
      </c>
      <c r="C17" s="10" t="n"/>
      <c r="D17" s="10" t="n"/>
      <c r="E17" s="10" t="n"/>
      <c r="F17" s="10" t="n"/>
      <c r="G17" s="7" t="n">
        <v>0</v>
      </c>
    </row>
    <row r="18" ht="22" customHeight="1">
      <c r="A18" s="12" t="inlineStr">
        <is>
          <t>MBS 매출 합계</t>
        </is>
      </c>
      <c r="G18" s="13">
        <f>G6+G8+G10+G12+G14+G16+G17</f>
        <v/>
      </c>
    </row>
    <row r="20" ht="20" customHeight="1">
      <c r="A20" s="14" t="inlineStr">
        <is>
          <t>■  PT 매출 (퍼스널 트레이닝)</t>
        </is>
      </c>
    </row>
    <row r="21">
      <c r="B21" s="15" t="inlineStr">
        <is>
          <t>① PT 재등록 매출</t>
        </is>
      </c>
    </row>
    <row r="22">
      <c r="B22" s="16" t="inlineStr">
        <is>
          <t xml:space="preserve">  PT 재등록 매출</t>
        </is>
      </c>
      <c r="C22" s="16" t="inlineStr">
        <is>
          <t>재등록 대상자 (명)</t>
        </is>
      </c>
      <c r="D22" s="7" t="n">
        <v>25</v>
      </c>
      <c r="E22" s="16" t="inlineStr">
        <is>
          <t>재등록율 (%)</t>
        </is>
      </c>
      <c r="F22" s="9" t="n">
        <v>70</v>
      </c>
      <c r="G22" s="17" t="n"/>
    </row>
    <row r="23">
      <c r="B23" s="16" t="inlineStr"/>
      <c r="C23" s="16" t="inlineStr">
        <is>
          <t>재등록 객단가 (원)</t>
        </is>
      </c>
      <c r="D23" s="7" t="n">
        <v>550000</v>
      </c>
      <c r="E23" s="17" t="n"/>
      <c r="F23" s="17" t="n"/>
      <c r="G23" s="18">
        <f>ROUND(D22*(F22/100),0)*D23</f>
        <v/>
      </c>
    </row>
    <row r="24">
      <c r="B24" s="15" t="inlineStr">
        <is>
          <t>② PT 체험권 판매 매출</t>
        </is>
      </c>
    </row>
    <row r="25">
      <c r="B25" s="16" t="inlineStr">
        <is>
          <t xml:space="preserve">  체험권 판매 매출</t>
        </is>
      </c>
      <c r="C25" s="16" t="inlineStr">
        <is>
          <t>체험권 판매 수 (명)</t>
        </is>
      </c>
      <c r="D25" s="7" t="n">
        <v>15</v>
      </c>
      <c r="E25" s="16" t="inlineStr">
        <is>
          <t>객단가 (원)</t>
        </is>
      </c>
      <c r="F25" s="7" t="n">
        <v>99000</v>
      </c>
      <c r="G25" s="19">
        <f>D25*F25</f>
        <v/>
      </c>
    </row>
    <row r="26">
      <c r="B26" s="15" t="inlineStr">
        <is>
          <t>③ PT 체험→정규 전환 매출  (체험권 판매 수 자동 연동)</t>
        </is>
      </c>
    </row>
    <row r="27">
      <c r="B27" s="16" t="inlineStr">
        <is>
          <t xml:space="preserve">  체험→정규 전환 매출</t>
        </is>
      </c>
      <c r="C27" s="16" t="inlineStr">
        <is>
          <t>전환율 (%)</t>
        </is>
      </c>
      <c r="D27" s="9" t="n">
        <v>40</v>
      </c>
      <c r="E27" s="16" t="inlineStr">
        <is>
          <t>전환 객단가 (원)</t>
        </is>
      </c>
      <c r="F27" s="7" t="n">
        <v>480000</v>
      </c>
      <c r="G27" s="19">
        <f>ROUND(D25*(D27/100),0)*F27</f>
        <v/>
      </c>
    </row>
    <row r="28">
      <c r="B28" s="15" t="inlineStr">
        <is>
          <t>④ PT 신규 오가닉 매출</t>
        </is>
      </c>
    </row>
    <row r="29">
      <c r="B29" s="16" t="inlineStr">
        <is>
          <t xml:space="preserve">  신규 오가닉 매출</t>
        </is>
      </c>
      <c r="C29" s="16" t="inlineStr">
        <is>
          <t>신규 결제자 (명)</t>
        </is>
      </c>
      <c r="D29" s="7" t="n">
        <v>8</v>
      </c>
      <c r="E29" s="16" t="inlineStr">
        <is>
          <t>객단가 (원)</t>
        </is>
      </c>
      <c r="F29" s="7" t="n">
        <v>480000</v>
      </c>
      <c r="G29" s="19">
        <f>D29*F29</f>
        <v/>
      </c>
    </row>
    <row r="30">
      <c r="B30" s="15" t="inlineStr">
        <is>
          <t>⑤ PT 대관 매출 (수동 입력)</t>
        </is>
      </c>
    </row>
    <row r="31">
      <c r="B31" s="16" t="inlineStr">
        <is>
          <t xml:space="preserve">  PT 대관 매출</t>
        </is>
      </c>
      <c r="C31" s="17" t="n"/>
      <c r="D31" s="17" t="n"/>
      <c r="E31" s="17" t="n"/>
      <c r="F31" s="17" t="n"/>
      <c r="G31" s="7" t="n">
        <v>0</v>
      </c>
    </row>
    <row r="32" ht="22" customHeight="1">
      <c r="A32" s="20" t="inlineStr">
        <is>
          <t>PT 매출 합계</t>
        </is>
      </c>
      <c r="G32" s="21">
        <f>G23+G25+G27+G29+G31</f>
        <v/>
      </c>
    </row>
    <row r="34" ht="20" customHeight="1">
      <c r="A34" s="22" t="inlineStr">
        <is>
          <t>■  TB 매출 (프로그램 / 레슨)</t>
        </is>
      </c>
    </row>
    <row r="35">
      <c r="B35" s="23" t="inlineStr">
        <is>
          <t xml:space="preserve">  실속 매출</t>
        </is>
      </c>
      <c r="C35" s="24" t="n"/>
      <c r="D35" s="24" t="n"/>
      <c r="E35" s="24" t="n"/>
      <c r="F35" s="24" t="n"/>
      <c r="G35" s="7" t="n">
        <v>3000000</v>
      </c>
    </row>
    <row r="36">
      <c r="B36" s="23" t="inlineStr">
        <is>
          <t xml:space="preserve">  프리미엄 매출</t>
        </is>
      </c>
      <c r="C36" s="24" t="n"/>
      <c r="D36" s="24" t="n"/>
      <c r="E36" s="24" t="n"/>
      <c r="F36" s="24" t="n"/>
      <c r="G36" s="7" t="n">
        <v>2000000</v>
      </c>
    </row>
    <row r="37">
      <c r="B37" s="23" t="inlineStr">
        <is>
          <t xml:space="preserve">  상시프로모 매출</t>
        </is>
      </c>
      <c r="C37" s="24" t="n"/>
      <c r="D37" s="24" t="n"/>
      <c r="E37" s="24" t="n"/>
      <c r="F37" s="24" t="n"/>
      <c r="G37" s="7" t="n">
        <v>500000</v>
      </c>
    </row>
    <row r="38" ht="22" customHeight="1">
      <c r="A38" s="25" t="inlineStr">
        <is>
          <t>TB 매출 합계</t>
        </is>
      </c>
      <c r="G38" s="26">
        <f>G35+G36+G37</f>
        <v/>
      </c>
    </row>
    <row r="39" ht="24" customHeight="1">
      <c r="A39" s="27" t="inlineStr">
        <is>
          <t>★  PB 매출 합계 (핸들링 가능 = MBS + PT + TB + 옵션)</t>
        </is>
      </c>
      <c r="G39" s="28">
        <f>G18+G32+G38</f>
        <v/>
      </c>
    </row>
    <row r="41" ht="20" customHeight="1">
      <c r="A41" s="29" t="inlineStr">
        <is>
          <t>■  입점업체 매출 (수동 입력 / 업체명 수정 가능, 최대 8개)</t>
        </is>
      </c>
    </row>
    <row r="42">
      <c r="B42" s="30" t="inlineStr">
        <is>
          <t xml:space="preserve">  입점업체 1</t>
        </is>
      </c>
      <c r="C42" s="31" t="n"/>
      <c r="D42" s="31" t="n"/>
      <c r="E42" s="31" t="n"/>
      <c r="F42" s="31" t="n"/>
      <c r="G42" s="7" t="n">
        <v>0</v>
      </c>
    </row>
    <row r="43">
      <c r="B43" s="30" t="inlineStr">
        <is>
          <t xml:space="preserve">  입점업체 2</t>
        </is>
      </c>
      <c r="C43" s="31" t="n"/>
      <c r="D43" s="31" t="n"/>
      <c r="E43" s="31" t="n"/>
      <c r="F43" s="31" t="n"/>
      <c r="G43" s="7" t="n">
        <v>0</v>
      </c>
    </row>
    <row r="44">
      <c r="B44" s="30" t="inlineStr">
        <is>
          <t xml:space="preserve">  입점업체 3</t>
        </is>
      </c>
      <c r="C44" s="31" t="n"/>
      <c r="D44" s="31" t="n"/>
      <c r="E44" s="31" t="n"/>
      <c r="F44" s="31" t="n"/>
      <c r="G44" s="7" t="n">
        <v>0</v>
      </c>
    </row>
    <row r="45" ht="22" customHeight="1">
      <c r="A45" s="32" t="inlineStr">
        <is>
          <t>입점업체 합계</t>
        </is>
      </c>
      <c r="G45" s="33">
        <f>SUM(G42:G44)</f>
        <v/>
      </c>
    </row>
    <row r="47" ht="20" customHeight="1">
      <c r="A47" s="34" t="inlineStr">
        <is>
          <t>■  기타 매출 (수수료 등)</t>
        </is>
      </c>
    </row>
    <row r="48">
      <c r="B48" s="35" t="inlineStr">
        <is>
          <t xml:space="preserve">  수수료 수입</t>
        </is>
      </c>
      <c r="C48" s="36" t="n"/>
      <c r="D48" s="36" t="n"/>
      <c r="E48" s="36" t="n"/>
      <c r="F48" s="36" t="n"/>
      <c r="G48" s="7" t="n">
        <v>0</v>
      </c>
    </row>
    <row r="49">
      <c r="B49" s="35" t="inlineStr">
        <is>
          <t xml:space="preserve">  기타 매출</t>
        </is>
      </c>
      <c r="C49" s="36" t="n"/>
      <c r="D49" s="36" t="n"/>
      <c r="E49" s="36" t="n"/>
      <c r="F49" s="36" t="n"/>
      <c r="G49" s="7" t="n">
        <v>0</v>
      </c>
    </row>
    <row r="50" ht="28" customHeight="1">
      <c r="A50" s="37" t="inlineStr">
        <is>
          <t>◆  총 매출 합계</t>
        </is>
      </c>
      <c r="G50" s="38">
        <f>G39+G45+SUM(G48:G49)</f>
        <v/>
      </c>
    </row>
  </sheetData>
  <mergeCells count="22">
    <mergeCell ref="A4:G4"/>
    <mergeCell ref="A20:G20"/>
    <mergeCell ref="A18:F18"/>
    <mergeCell ref="B13:G13"/>
    <mergeCell ref="A50:F50"/>
    <mergeCell ref="B28:G28"/>
    <mergeCell ref="A34:G34"/>
    <mergeCell ref="B9:G9"/>
    <mergeCell ref="A32:F32"/>
    <mergeCell ref="B30:G30"/>
    <mergeCell ref="B15:G15"/>
    <mergeCell ref="B24:G24"/>
    <mergeCell ref="A38:F38"/>
    <mergeCell ref="A1:G1"/>
    <mergeCell ref="B5:G5"/>
    <mergeCell ref="B26:G26"/>
    <mergeCell ref="A41:G41"/>
    <mergeCell ref="A39:F39"/>
    <mergeCell ref="A45:F45"/>
    <mergeCell ref="A2:G2"/>
    <mergeCell ref="B21:G2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6" customWidth="1" min="4" max="4"/>
    <col width="22" customWidth="1" min="5" max="5"/>
    <col width="16" customWidth="1" min="6" max="6"/>
    <col width="18" customWidth="1" min="7" max="7"/>
  </cols>
  <sheetData>
    <row r="1" ht="28" customHeight="1">
      <c r="A1" s="1" t="inlineStr">
        <is>
          <t>피트니스 센터 P&amp;L 시뮬레이터 — 비용 INPUT</t>
        </is>
      </c>
    </row>
    <row r="2">
      <c r="A2" s="2" t="inlineStr">
        <is>
          <t>※ 파란 글씨 셀에 수동 입력   |   검정 셀은 자동 계산   |   결제수수료는 매출 연동 자동 계산</t>
        </is>
      </c>
    </row>
    <row r="3" ht="18" customHeight="1">
      <c r="A3" s="3" t="inlineStr">
        <is>
          <t>항목 구분</t>
        </is>
      </c>
      <c r="B3" s="3" t="inlineStr">
        <is>
          <t>세부 항목</t>
        </is>
      </c>
      <c r="C3" s="3" t="inlineStr">
        <is>
          <t>변수 A</t>
        </is>
      </c>
      <c r="D3" s="3" t="inlineStr">
        <is>
          <t>값 A</t>
        </is>
      </c>
      <c r="E3" s="3" t="inlineStr">
        <is>
          <t>변수 B</t>
        </is>
      </c>
      <c r="F3" s="3" t="inlineStr">
        <is>
          <t>값 B</t>
        </is>
      </c>
      <c r="G3" s="3" t="inlineStr">
        <is>
          <t>결과/소계</t>
        </is>
      </c>
    </row>
    <row r="4" ht="20" customHeight="1">
      <c r="A4" s="39" t="inlineStr">
        <is>
          <t>■  COS — 매출원가 (Cost of Sales)</t>
        </is>
      </c>
    </row>
    <row r="5">
      <c r="B5" s="40" t="inlineStr">
        <is>
          <t>① PT 강사료 (수동 입력)</t>
        </is>
      </c>
    </row>
    <row r="6">
      <c r="B6" s="41" t="inlineStr">
        <is>
          <t xml:space="preserve">  PT 강사료 합계</t>
        </is>
      </c>
      <c r="C6" s="42" t="n"/>
      <c r="D6" s="42" t="n"/>
      <c r="E6" s="42" t="n"/>
      <c r="F6" s="42" t="n"/>
      <c r="G6" s="7" t="n">
        <v>3500000</v>
      </c>
    </row>
    <row r="7">
      <c r="B7" s="40" t="inlineStr">
        <is>
          <t>② 입점업체 수수료 (업체명 수정 가능 / 최대 8개)</t>
        </is>
      </c>
    </row>
    <row r="8">
      <c r="B8" s="41" t="inlineStr">
        <is>
          <t xml:space="preserve">  입점업체 1 수수료</t>
        </is>
      </c>
      <c r="C8" s="42" t="n"/>
      <c r="D8" s="42" t="n"/>
      <c r="E8" s="42" t="n"/>
      <c r="F8" s="42" t="n"/>
      <c r="G8" s="7" t="n">
        <v>0</v>
      </c>
    </row>
    <row r="9">
      <c r="B9" s="41" t="inlineStr">
        <is>
          <t xml:space="preserve">  입점업체 2 수수료</t>
        </is>
      </c>
      <c r="C9" s="42" t="n"/>
      <c r="D9" s="42" t="n"/>
      <c r="E9" s="42" t="n"/>
      <c r="F9" s="42" t="n"/>
      <c r="G9" s="7" t="n">
        <v>0</v>
      </c>
    </row>
    <row r="10">
      <c r="B10" s="41" t="inlineStr">
        <is>
          <t xml:space="preserve">  입점업체 3 수수료</t>
        </is>
      </c>
      <c r="C10" s="42" t="n"/>
      <c r="D10" s="42" t="n"/>
      <c r="E10" s="42" t="n"/>
      <c r="F10" s="42" t="n"/>
      <c r="G10" s="7" t="n">
        <v>0</v>
      </c>
    </row>
    <row r="11">
      <c r="A11" s="43" t="inlineStr">
        <is>
          <t>입점업체 수수료 소계</t>
        </is>
      </c>
      <c r="G11" s="44">
        <f>SUM(G8:G10)</f>
        <v/>
      </c>
    </row>
    <row r="12">
      <c r="B12" s="40" t="inlineStr">
        <is>
          <t>③ 결제수수료 = 총 매출 × 2.16%  (자동 계산, 수정 불필요)</t>
        </is>
      </c>
    </row>
    <row r="13">
      <c r="B13" s="41" t="inlineStr">
        <is>
          <t xml:space="preserve">  결제수수료</t>
        </is>
      </c>
      <c r="C13" s="45">
        <f> INPUT_매출 총 매출 × 2.16% 자동 연동</f>
        <v/>
      </c>
      <c r="G13" s="46">
        <f>INPUT_매출!G50*0.0216</f>
        <v/>
      </c>
    </row>
    <row r="14" ht="22" customHeight="1">
      <c r="A14" s="47" t="inlineStr">
        <is>
          <t>COS 합계</t>
        </is>
      </c>
      <c r="G14" s="48">
        <f>G6+G11+G13</f>
        <v/>
      </c>
    </row>
    <row r="16" ht="20" customHeight="1">
      <c r="A16" s="34" t="inlineStr">
        <is>
          <t>■  SG&amp;A — 비인건성 판관비</t>
        </is>
      </c>
    </row>
    <row r="17">
      <c r="B17" s="49" t="inlineStr">
        <is>
          <t>① 임관비 (임차료 / 고정관리비 / 전기료 / 수도료)</t>
        </is>
      </c>
    </row>
    <row r="18">
      <c r="B18" s="50" t="inlineStr">
        <is>
          <t xml:space="preserve">  임차료</t>
        </is>
      </c>
      <c r="C18" s="51" t="n"/>
      <c r="D18" s="51" t="n"/>
      <c r="E18" s="51" t="n"/>
      <c r="F18" s="51" t="n"/>
      <c r="G18" s="7" t="n">
        <v>6000000</v>
      </c>
    </row>
    <row r="19">
      <c r="B19" s="50" t="inlineStr">
        <is>
          <t xml:space="preserve">  고정관리비</t>
        </is>
      </c>
      <c r="C19" s="51" t="n"/>
      <c r="D19" s="51" t="n"/>
      <c r="E19" s="51" t="n"/>
      <c r="F19" s="51" t="n"/>
      <c r="G19" s="7" t="n">
        <v>300000</v>
      </c>
    </row>
    <row r="20">
      <c r="B20" s="50" t="inlineStr">
        <is>
          <t xml:space="preserve">  전기료</t>
        </is>
      </c>
      <c r="C20" s="51" t="n"/>
      <c r="D20" s="51" t="n"/>
      <c r="E20" s="51" t="n"/>
      <c r="F20" s="51" t="n"/>
      <c r="G20" s="7" t="n">
        <v>400000</v>
      </c>
    </row>
    <row r="21">
      <c r="B21" s="50" t="inlineStr">
        <is>
          <t xml:space="preserve">  수도료</t>
        </is>
      </c>
      <c r="C21" s="51" t="n"/>
      <c r="D21" s="51" t="n"/>
      <c r="E21" s="51" t="n"/>
      <c r="F21" s="51" t="n"/>
      <c r="G21" s="7" t="n">
        <v>100000</v>
      </c>
    </row>
    <row r="22">
      <c r="A22" s="52" t="inlineStr">
        <is>
          <t>임관비 소계</t>
        </is>
      </c>
      <c r="G22" s="53">
        <f>SUM(G18:G21)</f>
        <v/>
      </c>
    </row>
    <row r="23">
      <c r="B23" s="49" t="inlineStr">
        <is>
          <t>② 기타 비인건성 비용</t>
        </is>
      </c>
    </row>
    <row r="24">
      <c r="B24" s="50" t="inlineStr">
        <is>
          <t xml:space="preserve">  세탁비</t>
        </is>
      </c>
      <c r="C24" s="51" t="n"/>
      <c r="D24" s="51" t="n"/>
      <c r="E24" s="51" t="n"/>
      <c r="F24" s="51" t="n"/>
      <c r="G24" s="7" t="n">
        <v>150000</v>
      </c>
    </row>
    <row r="25">
      <c r="B25" s="50" t="inlineStr">
        <is>
          <t xml:space="preserve">  소모품비</t>
        </is>
      </c>
      <c r="C25" s="51" t="n"/>
      <c r="D25" s="51" t="n"/>
      <c r="E25" s="51" t="n"/>
      <c r="F25" s="51" t="n"/>
      <c r="G25" s="7" t="n">
        <v>300000</v>
      </c>
    </row>
    <row r="26">
      <c r="B26" s="50" t="inlineStr">
        <is>
          <t xml:space="preserve">  수선비</t>
        </is>
      </c>
      <c r="C26" s="51" t="n"/>
      <c r="D26" s="51" t="n"/>
      <c r="E26" s="51" t="n"/>
      <c r="F26" s="51" t="n"/>
      <c r="G26" s="7" t="n">
        <v>100000</v>
      </c>
    </row>
    <row r="27">
      <c r="B27" s="50" t="inlineStr">
        <is>
          <t xml:space="preserve">  마케팅비</t>
        </is>
      </c>
      <c r="C27" s="51" t="n"/>
      <c r="D27" s="51" t="n"/>
      <c r="E27" s="51" t="n"/>
      <c r="F27" s="51" t="n"/>
      <c r="G27" s="7" t="n">
        <v>800000</v>
      </c>
    </row>
    <row r="28">
      <c r="B28" s="50" t="inlineStr">
        <is>
          <t xml:space="preserve">  기타비용</t>
        </is>
      </c>
      <c r="C28" s="51" t="n"/>
      <c r="D28" s="51" t="n"/>
      <c r="E28" s="51" t="n"/>
      <c r="F28" s="51" t="n"/>
      <c r="G28" s="7" t="n">
        <v>200000</v>
      </c>
    </row>
    <row r="29" ht="22" customHeight="1">
      <c r="A29" s="54" t="inlineStr">
        <is>
          <t>비인건성 판관비 합계</t>
        </is>
      </c>
      <c r="G29" s="55">
        <f>G22+SUM(G24:G28)</f>
        <v/>
      </c>
    </row>
    <row r="31" ht="20" customHeight="1">
      <c r="A31" s="56" t="inlineStr">
        <is>
          <t>■  SG&amp;A — 인건비성 판관비</t>
        </is>
      </c>
    </row>
    <row r="32">
      <c r="B32" s="57" t="inlineStr">
        <is>
          <t>① BG 인건비 (직영, 수동 입력)</t>
        </is>
      </c>
    </row>
    <row r="33">
      <c r="B33" s="58" t="inlineStr">
        <is>
          <t xml:space="preserve">  BG 인건비 합계</t>
        </is>
      </c>
      <c r="C33" s="59" t="n"/>
      <c r="D33" s="59" t="n"/>
      <c r="E33" s="59" t="n"/>
      <c r="F33" s="59" t="n"/>
      <c r="G33" s="7" t="n">
        <v>12000000</v>
      </c>
    </row>
    <row r="34">
      <c r="B34" s="57" t="inlineStr">
        <is>
          <t>② TB 인건비 (협력/파트, 수동 입력)</t>
        </is>
      </c>
    </row>
    <row r="35">
      <c r="B35" s="58" t="inlineStr">
        <is>
          <t xml:space="preserve">  TB 인건비 합계</t>
        </is>
      </c>
      <c r="C35" s="59" t="n"/>
      <c r="D35" s="59" t="n"/>
      <c r="E35" s="59" t="n"/>
      <c r="F35" s="59" t="n"/>
      <c r="G35" s="7" t="n">
        <v>8000000</v>
      </c>
    </row>
    <row r="36" ht="22" customHeight="1">
      <c r="A36" s="60" t="inlineStr">
        <is>
          <t>인건비성 판관비 합계</t>
        </is>
      </c>
      <c r="G36" s="61">
        <f>G33+G35</f>
        <v/>
      </c>
    </row>
    <row r="38" ht="28" customHeight="1">
      <c r="A38" s="37" t="inlineStr">
        <is>
          <t>◆  총 비용 합계</t>
        </is>
      </c>
      <c r="G38" s="38">
        <f>G14+G29+G36</f>
        <v/>
      </c>
    </row>
  </sheetData>
  <mergeCells count="19">
    <mergeCell ref="B17:G17"/>
    <mergeCell ref="B23:G23"/>
    <mergeCell ref="A4:G4"/>
    <mergeCell ref="C13:F13"/>
    <mergeCell ref="B34:G34"/>
    <mergeCell ref="A14:F14"/>
    <mergeCell ref="A31:G31"/>
    <mergeCell ref="A22:F22"/>
    <mergeCell ref="A29:F29"/>
    <mergeCell ref="A38:F38"/>
    <mergeCell ref="A1:G1"/>
    <mergeCell ref="B5:G5"/>
    <mergeCell ref="B32:G32"/>
    <mergeCell ref="A16:G16"/>
    <mergeCell ref="B7:G7"/>
    <mergeCell ref="A11:F11"/>
    <mergeCell ref="A36:F36"/>
    <mergeCell ref="A2:G2"/>
    <mergeCell ref="B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0" customWidth="1" min="2" max="2"/>
    <col width="22" customWidth="1" min="3" max="3"/>
  </cols>
  <sheetData>
    <row r="1" ht="30" customHeight="1">
      <c r="A1" s="1" t="inlineStr">
        <is>
          <t>월간 손익계산서 (P&amp;L) — 모든 수치는 INPUT 시트 자동 연동</t>
        </is>
      </c>
    </row>
    <row r="3" ht="20" customHeight="1">
      <c r="A3" s="4" t="inlineStr">
        <is>
          <t>▶  SALES TOTAL</t>
        </is>
      </c>
    </row>
    <row r="4" ht="20" customHeight="1">
      <c r="A4" s="62" t="inlineStr">
        <is>
          <t xml:space="preserve">  MBS 매출</t>
        </is>
      </c>
    </row>
    <row r="5" ht="16" customHeight="1">
      <c r="A5" s="6" t="inlineStr">
        <is>
          <t xml:space="preserve">    구독 신규 매출</t>
        </is>
      </c>
      <c r="C5" s="63">
        <f>INPUT_매출!G6</f>
        <v/>
      </c>
    </row>
    <row r="6" ht="16" customHeight="1">
      <c r="A6" s="6" t="inlineStr">
        <is>
          <t xml:space="preserve">    구독 연장 매출</t>
        </is>
      </c>
      <c r="C6" s="63">
        <f>INPUT_매출!G8</f>
        <v/>
      </c>
    </row>
    <row r="7" ht="16" customHeight="1">
      <c r="A7" s="6" t="inlineStr">
        <is>
          <t xml:space="preserve">    기간권 신규 매출</t>
        </is>
      </c>
      <c r="C7" s="63">
        <f>INPUT_매출!G10</f>
        <v/>
      </c>
    </row>
    <row r="8" ht="16" customHeight="1">
      <c r="A8" s="6" t="inlineStr">
        <is>
          <t xml:space="preserve">    기간권 재등록</t>
        </is>
      </c>
      <c r="C8" s="63">
        <f>INPUT_매출!G12</f>
        <v/>
      </c>
    </row>
    <row r="9" ht="16" customHeight="1">
      <c r="A9" s="6" t="inlineStr">
        <is>
          <t xml:space="preserve">    1일권 매출</t>
        </is>
      </c>
      <c r="C9" s="63">
        <f>INPUT_매출!G14</f>
        <v/>
      </c>
    </row>
    <row r="10" ht="16" customHeight="1">
      <c r="A10" s="6" t="inlineStr">
        <is>
          <t xml:space="preserve">    법인 매출</t>
        </is>
      </c>
      <c r="C10" s="63">
        <f>INPUT_매출!G16</f>
        <v/>
      </c>
    </row>
    <row r="11" ht="16" customHeight="1">
      <c r="A11" s="6" t="inlineStr">
        <is>
          <t xml:space="preserve">    옵션 매출</t>
        </is>
      </c>
      <c r="C11" s="63">
        <f>INPUT_매출!G17</f>
        <v/>
      </c>
    </row>
    <row r="12" ht="16" customHeight="1">
      <c r="A12" s="64" t="inlineStr">
        <is>
          <t>MBS 소계</t>
        </is>
      </c>
      <c r="C12" s="65">
        <f>INPUT_매출!G18</f>
        <v/>
      </c>
    </row>
    <row r="13" ht="20" customHeight="1">
      <c r="A13" s="66" t="inlineStr">
        <is>
          <t xml:space="preserve">  PT 매출</t>
        </is>
      </c>
    </row>
    <row r="14" ht="16" customHeight="1">
      <c r="A14" s="16" t="inlineStr">
        <is>
          <t xml:space="preserve">    PT 재등록 매출</t>
        </is>
      </c>
      <c r="C14" s="67">
        <f>INPUT_매출!G23</f>
        <v/>
      </c>
    </row>
    <row r="15" ht="16" customHeight="1">
      <c r="A15" s="16" t="inlineStr">
        <is>
          <t xml:space="preserve">    PT 체험권 판매</t>
        </is>
      </c>
      <c r="C15" s="67">
        <f>INPUT_매출!G25</f>
        <v/>
      </c>
    </row>
    <row r="16" ht="16" customHeight="1">
      <c r="A16" s="16" t="inlineStr">
        <is>
          <t xml:space="preserve">    PT 체험→정규 전환</t>
        </is>
      </c>
      <c r="C16" s="67">
        <f>INPUT_매출!G27</f>
        <v/>
      </c>
    </row>
    <row r="17" ht="16" customHeight="1">
      <c r="A17" s="16" t="inlineStr">
        <is>
          <t xml:space="preserve">    PT 신규 오가닉</t>
        </is>
      </c>
      <c r="C17" s="67">
        <f>INPUT_매출!G29</f>
        <v/>
      </c>
    </row>
    <row r="18" ht="16" customHeight="1">
      <c r="A18" s="16" t="inlineStr">
        <is>
          <t xml:space="preserve">    PT 대관 매출</t>
        </is>
      </c>
      <c r="C18" s="67">
        <f>INPUT_매출!G31</f>
        <v/>
      </c>
    </row>
    <row r="19" ht="16" customHeight="1">
      <c r="A19" s="68" t="inlineStr">
        <is>
          <t>PT 소계</t>
        </is>
      </c>
      <c r="C19" s="69">
        <f>INPUT_매출!G32</f>
        <v/>
      </c>
    </row>
    <row r="20" ht="20" customHeight="1">
      <c r="A20" s="70" t="inlineStr">
        <is>
          <t xml:space="preserve">  TB 매출</t>
        </is>
      </c>
    </row>
    <row r="21" ht="16" customHeight="1">
      <c r="A21" s="23" t="inlineStr">
        <is>
          <t xml:space="preserve">    실속</t>
        </is>
      </c>
      <c r="C21" s="71">
        <f>INPUT_매출!G35</f>
        <v/>
      </c>
    </row>
    <row r="22" ht="16" customHeight="1">
      <c r="A22" s="23" t="inlineStr">
        <is>
          <t xml:space="preserve">    프리미엄</t>
        </is>
      </c>
      <c r="C22" s="71">
        <f>INPUT_매출!G36</f>
        <v/>
      </c>
    </row>
    <row r="23" ht="16" customHeight="1">
      <c r="A23" s="23" t="inlineStr">
        <is>
          <t xml:space="preserve">    상시프로모</t>
        </is>
      </c>
      <c r="C23" s="71">
        <f>INPUT_매출!G37</f>
        <v/>
      </c>
    </row>
    <row r="24" ht="16" customHeight="1">
      <c r="A24" s="72" t="inlineStr">
        <is>
          <t>TB 소계</t>
        </is>
      </c>
      <c r="C24" s="73">
        <f>INPUT_매출!G38</f>
        <v/>
      </c>
    </row>
    <row r="25" ht="22" customHeight="1">
      <c r="A25" s="74" t="inlineStr">
        <is>
          <t>★  PB 매출 합계 (핸들링 가능 = MBS+PT+TB)</t>
        </is>
      </c>
      <c r="C25" s="28">
        <f>INPUT_매출!G39</f>
        <v/>
      </c>
    </row>
    <row r="26" ht="20" customHeight="1">
      <c r="A26" s="75" t="inlineStr">
        <is>
          <t xml:space="preserve">  입점업체 매출</t>
        </is>
      </c>
    </row>
    <row r="27" ht="16" customHeight="1">
      <c r="A27" s="30" t="inlineStr">
        <is>
          <t xml:space="preserve">    입점업체 1</t>
        </is>
      </c>
      <c r="C27" s="76">
        <f>INPUT_매출!G42</f>
        <v/>
      </c>
    </row>
    <row r="28" ht="16" customHeight="1">
      <c r="A28" s="30" t="inlineStr">
        <is>
          <t xml:space="preserve">    입점업체 2</t>
        </is>
      </c>
      <c r="C28" s="76">
        <f>INPUT_매출!G43</f>
        <v/>
      </c>
    </row>
    <row r="29" ht="16" customHeight="1">
      <c r="A29" s="30" t="inlineStr">
        <is>
          <t xml:space="preserve">    입점업체 3</t>
        </is>
      </c>
      <c r="C29" s="76">
        <f>INPUT_매출!G44</f>
        <v/>
      </c>
    </row>
    <row r="30" ht="16" customHeight="1">
      <c r="A30" s="77" t="inlineStr">
        <is>
          <t>입점업체 소계</t>
        </is>
      </c>
      <c r="C30" s="78">
        <f>INPUT_매출!G45</f>
        <v/>
      </c>
    </row>
    <row r="31" ht="16" customHeight="1">
      <c r="A31" s="35" t="inlineStr">
        <is>
          <t>기타 매출 (수수료 등)</t>
        </is>
      </c>
      <c r="C31" s="79">
        <f>SUM(INPUT_매출!G48:INPUT_매출!G49)</f>
        <v/>
      </c>
    </row>
    <row r="32" ht="26" customHeight="1">
      <c r="A32" s="1" t="inlineStr">
        <is>
          <t>◆  매출합계</t>
        </is>
      </c>
      <c r="C32" s="38">
        <f>INPUT_매출!G50</f>
        <v/>
      </c>
    </row>
    <row r="34" ht="20" customHeight="1">
      <c r="A34" s="39" t="inlineStr">
        <is>
          <t>▶  COST TOTAL</t>
        </is>
      </c>
    </row>
    <row r="35" ht="20" customHeight="1">
      <c r="A35" s="80" t="inlineStr">
        <is>
          <t xml:space="preserve">  COS — 매출원가</t>
        </is>
      </c>
    </row>
    <row r="36" ht="16" customHeight="1">
      <c r="A36" s="41" t="inlineStr">
        <is>
          <t xml:space="preserve">    PT 강사료</t>
        </is>
      </c>
      <c r="C36" s="46">
        <f>INPUT_비용!G6</f>
        <v/>
      </c>
    </row>
    <row r="37" ht="16" customHeight="1">
      <c r="A37" s="41" t="inlineStr">
        <is>
          <t xml:space="preserve">    입점업체 수수료 소계</t>
        </is>
      </c>
      <c r="C37" s="46">
        <f>INPUT_비용!G11</f>
        <v/>
      </c>
    </row>
    <row r="38" ht="16" customHeight="1">
      <c r="A38" s="41" t="inlineStr">
        <is>
          <t xml:space="preserve">        ∟ 입점업체 1 수수료</t>
        </is>
      </c>
      <c r="C38" s="46">
        <f>INPUT_비용!G8</f>
        <v/>
      </c>
    </row>
    <row r="39" ht="16" customHeight="1">
      <c r="A39" s="41" t="inlineStr">
        <is>
          <t xml:space="preserve">        ∟ 입점업체 2 수수료</t>
        </is>
      </c>
      <c r="C39" s="46">
        <f>INPUT_비용!G9</f>
        <v/>
      </c>
    </row>
    <row r="40" ht="16" customHeight="1">
      <c r="A40" s="41" t="inlineStr">
        <is>
          <t xml:space="preserve">        ∟ 입점업체 3 수수료</t>
        </is>
      </c>
      <c r="C40" s="46">
        <f>INPUT_비용!G10</f>
        <v/>
      </c>
    </row>
    <row r="41" ht="16" customHeight="1">
      <c r="A41" s="41" t="inlineStr">
        <is>
          <t xml:space="preserve">    결제수수료 (총매출×2.16%)</t>
        </is>
      </c>
      <c r="C41" s="46">
        <f>INPUT_비용!G13</f>
        <v/>
      </c>
    </row>
    <row r="42" ht="16" customHeight="1">
      <c r="A42" s="81" t="inlineStr">
        <is>
          <t>COS 소계</t>
        </is>
      </c>
      <c r="C42" s="82">
        <f>INPUT_비용!G14</f>
        <v/>
      </c>
    </row>
    <row r="43" ht="20" customHeight="1">
      <c r="A43" s="83" t="inlineStr">
        <is>
          <t xml:space="preserve">  SG&amp;A — 비인건성 판관비</t>
        </is>
      </c>
    </row>
    <row r="44" ht="16" customHeight="1">
      <c r="A44" s="50" t="inlineStr">
        <is>
          <t xml:space="preserve">    임관비 소계</t>
        </is>
      </c>
      <c r="C44" s="84">
        <f>INPUT_비용!G22</f>
        <v/>
      </c>
    </row>
    <row r="45" ht="16" customHeight="1">
      <c r="A45" s="50" t="inlineStr">
        <is>
          <t xml:space="preserve">        ∟ 임차료</t>
        </is>
      </c>
      <c r="C45" s="84">
        <f>INPUT_비용!G18</f>
        <v/>
      </c>
    </row>
    <row r="46" ht="16" customHeight="1">
      <c r="A46" s="50" t="inlineStr">
        <is>
          <t xml:space="preserve">        ∟ 고정관리비</t>
        </is>
      </c>
      <c r="C46" s="84">
        <f>INPUT_비용!G19</f>
        <v/>
      </c>
    </row>
    <row r="47" ht="16" customHeight="1">
      <c r="A47" s="50" t="inlineStr">
        <is>
          <t xml:space="preserve">        ∟ 전기료</t>
        </is>
      </c>
      <c r="C47" s="84">
        <f>INPUT_비용!G20</f>
        <v/>
      </c>
    </row>
    <row r="48" ht="16" customHeight="1">
      <c r="A48" s="50" t="inlineStr">
        <is>
          <t xml:space="preserve">        ∟ 수도료</t>
        </is>
      </c>
      <c r="C48" s="84">
        <f>INPUT_비용!G21</f>
        <v/>
      </c>
    </row>
    <row r="49" ht="16" customHeight="1">
      <c r="A49" s="50" t="inlineStr">
        <is>
          <t xml:space="preserve">    세탁비</t>
        </is>
      </c>
      <c r="C49" s="84">
        <f>INPUT_비용!G24</f>
        <v/>
      </c>
    </row>
    <row r="50" ht="16" customHeight="1">
      <c r="A50" s="50" t="inlineStr">
        <is>
          <t xml:space="preserve">    소모품비</t>
        </is>
      </c>
      <c r="C50" s="84">
        <f>INPUT_비용!G25</f>
        <v/>
      </c>
    </row>
    <row r="51" ht="16" customHeight="1">
      <c r="A51" s="50" t="inlineStr">
        <is>
          <t xml:space="preserve">    수선비</t>
        </is>
      </c>
      <c r="C51" s="84">
        <f>INPUT_비용!G26</f>
        <v/>
      </c>
    </row>
    <row r="52" ht="16" customHeight="1">
      <c r="A52" s="50" t="inlineStr">
        <is>
          <t xml:space="preserve">    마케팅비</t>
        </is>
      </c>
      <c r="C52" s="84">
        <f>INPUT_비용!G27</f>
        <v/>
      </c>
    </row>
    <row r="53" ht="16" customHeight="1">
      <c r="A53" s="50" t="inlineStr">
        <is>
          <t xml:space="preserve">    기타비용</t>
        </is>
      </c>
      <c r="C53" s="84">
        <f>INPUT_비용!G28</f>
        <v/>
      </c>
    </row>
    <row r="54" ht="16" customHeight="1">
      <c r="A54" s="85" t="inlineStr">
        <is>
          <t>비인건성 소계</t>
        </is>
      </c>
      <c r="C54" s="86">
        <f>INPUT_비용!G29</f>
        <v/>
      </c>
    </row>
    <row r="55" ht="20" customHeight="1">
      <c r="A55" s="87" t="inlineStr">
        <is>
          <t xml:space="preserve">  SG&amp;A — 인건비성 판관비</t>
        </is>
      </c>
    </row>
    <row r="56" ht="16" customHeight="1">
      <c r="A56" s="58" t="inlineStr">
        <is>
          <t xml:space="preserve">    BG 인건비 (직영)</t>
        </is>
      </c>
      <c r="C56" s="88">
        <f>INPUT_비용!G33</f>
        <v/>
      </c>
    </row>
    <row r="57" ht="16" customHeight="1">
      <c r="A57" s="58" t="inlineStr">
        <is>
          <t xml:space="preserve">    TB 인건비 (협력)</t>
        </is>
      </c>
      <c r="C57" s="88">
        <f>INPUT_비용!G35</f>
        <v/>
      </c>
    </row>
    <row r="58" ht="16" customHeight="1">
      <c r="A58" s="89" t="inlineStr">
        <is>
          <t>인건비성 소계</t>
        </is>
      </c>
      <c r="C58" s="90">
        <f>INPUT_비용!G36</f>
        <v/>
      </c>
    </row>
    <row r="59" ht="26" customHeight="1">
      <c r="A59" s="91" t="inlineStr">
        <is>
          <t>◆  비용합계</t>
        </is>
      </c>
      <c r="C59" s="92">
        <f>INPUT_비용!G38</f>
        <v/>
      </c>
    </row>
    <row r="61" ht="24" customHeight="1">
      <c r="A61" s="93" t="inlineStr">
        <is>
          <t>■  Gross Profit (매출총이익) = 매출 - COS</t>
        </is>
      </c>
      <c r="C61" s="94">
        <f>C32-C42</f>
        <v/>
      </c>
    </row>
    <row r="62" ht="16" customHeight="1">
      <c r="A62" s="95" t="inlineStr">
        <is>
          <t xml:space="preserve">    GP 마진율 = GP ÷ 매출합계</t>
        </is>
      </c>
      <c r="C62" s="96">
        <f>IFERROR(C61/C32,0)</f>
        <v/>
      </c>
    </row>
    <row r="64" ht="28" customHeight="1">
      <c r="A64" s="97" t="inlineStr">
        <is>
          <t>■  영업이익 (EBIT) = 매출 - 총비용</t>
        </is>
      </c>
      <c r="C64" s="98">
        <f>C32-C59</f>
        <v/>
      </c>
    </row>
    <row r="65" ht="16" customHeight="1">
      <c r="A65" s="99" t="inlineStr">
        <is>
          <t xml:space="preserve">    영업이익률 = 영업이익 ÷ 매출합계</t>
        </is>
      </c>
      <c r="C65" s="100">
        <f>IFERROR(C64/C32,0)</f>
        <v/>
      </c>
    </row>
    <row r="67" ht="20" customHeight="1">
      <c r="A67" s="101" t="inlineStr">
        <is>
          <t>▶  BEP (손익분기점) 분석</t>
        </is>
      </c>
    </row>
    <row r="68" ht="16" customHeight="1">
      <c r="A68" s="102" t="inlineStr">
        <is>
          <t>고정비 = 임관비 + BG인건비 + TB인건비</t>
        </is>
      </c>
      <c r="C68" s="103">
        <f>INPUT_비용!G22+INPUT_비용!G33+INPUT_비용!G35</f>
        <v/>
      </c>
    </row>
    <row r="69" ht="16" customHeight="1">
      <c r="A69" s="102" t="inlineStr">
        <is>
          <t>변동비 = COS + 기타비인건성</t>
        </is>
      </c>
      <c r="C69" s="103">
        <f>INPUT_비용!G14+SUM(INPUT_비용!G24:INPUT_비용!G28)</f>
        <v/>
      </c>
    </row>
    <row r="70" ht="16" customHeight="1">
      <c r="A70" s="102" t="inlineStr">
        <is>
          <t>변동비율 = 변동비 ÷ 매출</t>
        </is>
      </c>
      <c r="C70" s="104">
        <f>IFERROR(C69/C32,0)</f>
        <v/>
      </c>
    </row>
    <row r="71" ht="16" customHeight="1">
      <c r="A71" s="105" t="inlineStr">
        <is>
          <t>BEP 매출 = 고정비 ÷ (1 - 변동비율)</t>
        </is>
      </c>
      <c r="C71" s="106">
        <f>IFERROR(C68/(1-C70),0)</f>
        <v/>
      </c>
    </row>
    <row r="72" ht="16" customHeight="1">
      <c r="A72" s="102" t="inlineStr">
        <is>
          <t>잔여/초과 = 현 매출 - BEP 매출</t>
        </is>
      </c>
      <c r="C72" s="103">
        <f>C32-C71</f>
        <v/>
      </c>
    </row>
    <row r="73" ht="16" customHeight="1">
      <c r="A73" s="102" t="inlineStr">
        <is>
          <t>BEP 달성률 = 현 매출 ÷ BEP 매출</t>
        </is>
      </c>
      <c r="C73" s="104">
        <f>IFERROR(C32/C71,0)</f>
        <v/>
      </c>
    </row>
    <row r="74" ht="16" customHeight="1">
      <c r="A74" s="105" t="inlineStr">
        <is>
          <t>BEP 달성 여부</t>
        </is>
      </c>
      <c r="C74" s="107">
        <f>IF(C64&gt;=0,"✅  BEP 달성","❌  BEP 미달")</f>
        <v/>
      </c>
    </row>
  </sheetData>
  <mergeCells count="69">
    <mergeCell ref="A48:B48"/>
    <mergeCell ref="A24:B24"/>
    <mergeCell ref="A30:B30"/>
    <mergeCell ref="A15:B15"/>
    <mergeCell ref="A59:B59"/>
    <mergeCell ref="A64:B64"/>
    <mergeCell ref="A73:B73"/>
    <mergeCell ref="A11:B11"/>
    <mergeCell ref="A49:B49"/>
    <mergeCell ref="A51:B51"/>
    <mergeCell ref="A45:B45"/>
    <mergeCell ref="A36:B36"/>
    <mergeCell ref="A3:C3"/>
    <mergeCell ref="A55:C55"/>
    <mergeCell ref="A70:B70"/>
    <mergeCell ref="A26:C26"/>
    <mergeCell ref="A6:B6"/>
    <mergeCell ref="A61:B61"/>
    <mergeCell ref="A69:B69"/>
    <mergeCell ref="A16:B16"/>
    <mergeCell ref="A54:B54"/>
    <mergeCell ref="A7:B7"/>
    <mergeCell ref="A25:B25"/>
    <mergeCell ref="A65:B65"/>
    <mergeCell ref="A41:B41"/>
    <mergeCell ref="A37:B37"/>
    <mergeCell ref="A46:B46"/>
    <mergeCell ref="A74:B74"/>
    <mergeCell ref="A18:B18"/>
    <mergeCell ref="A4:C4"/>
    <mergeCell ref="A27:B27"/>
    <mergeCell ref="A20:C20"/>
    <mergeCell ref="A35:C35"/>
    <mergeCell ref="A43:C43"/>
    <mergeCell ref="A56:B56"/>
    <mergeCell ref="A12:B12"/>
    <mergeCell ref="A50:B50"/>
    <mergeCell ref="A21:B21"/>
    <mergeCell ref="A13:C13"/>
    <mergeCell ref="A57:B57"/>
    <mergeCell ref="A71:B71"/>
    <mergeCell ref="A47:B47"/>
    <mergeCell ref="A5:B5"/>
    <mergeCell ref="A42:B42"/>
    <mergeCell ref="A32:B32"/>
    <mergeCell ref="A67:C67"/>
    <mergeCell ref="A14:B14"/>
    <mergeCell ref="A17:B17"/>
    <mergeCell ref="A23:B23"/>
    <mergeCell ref="A34:C34"/>
    <mergeCell ref="A8:B8"/>
    <mergeCell ref="A22:B22"/>
    <mergeCell ref="A53:B53"/>
    <mergeCell ref="A62:B62"/>
    <mergeCell ref="A38:B38"/>
    <mergeCell ref="A72:B72"/>
    <mergeCell ref="A29:B29"/>
    <mergeCell ref="A52:B52"/>
    <mergeCell ref="A1:C1"/>
    <mergeCell ref="A19:B19"/>
    <mergeCell ref="A68:B68"/>
    <mergeCell ref="A10:B10"/>
    <mergeCell ref="A28:B28"/>
    <mergeCell ref="A44:B44"/>
    <mergeCell ref="A40:B40"/>
    <mergeCell ref="A9:B9"/>
    <mergeCell ref="A31:B31"/>
    <mergeCell ref="A58:B58"/>
    <mergeCell ref="A39:B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6" customWidth="1" min="2" max="2"/>
    <col width="20" customWidth="1" min="3" max="3"/>
    <col width="2" customWidth="1" min="4" max="4"/>
    <col width="26" customWidth="1" min="5" max="5"/>
    <col width="20" customWidth="1" min="6" max="6"/>
  </cols>
  <sheetData>
    <row r="1" ht="30" customHeight="1">
      <c r="A1" s="108" t="inlineStr">
        <is>
          <t>피트니스 센터 P&amp;L — 대시보드</t>
        </is>
      </c>
    </row>
    <row r="3" ht="16" customHeight="1">
      <c r="B3" s="109" t="inlineStr">
        <is>
          <t>총 매출</t>
        </is>
      </c>
      <c r="E3" s="110" t="inlineStr">
        <is>
          <t>PB 매출 (핸들링)</t>
        </is>
      </c>
    </row>
    <row r="4" ht="26" customHeight="1">
      <c r="B4" s="111">
        <f>P&amp;L!C32</f>
        <v/>
      </c>
      <c r="E4" s="112">
        <f>P&amp;L!C25</f>
        <v/>
      </c>
    </row>
    <row r="6" ht="16" customHeight="1">
      <c r="B6" s="113" t="inlineStr">
        <is>
          <t>Gross Profit</t>
        </is>
      </c>
      <c r="E6" s="113" t="inlineStr">
        <is>
          <t>GP 마진율</t>
        </is>
      </c>
    </row>
    <row r="7" ht="26" customHeight="1">
      <c r="B7" s="114">
        <f>P&amp;L!C61</f>
        <v/>
      </c>
      <c r="E7" s="115">
        <f>P&amp;L!C62</f>
        <v/>
      </c>
    </row>
    <row r="9" ht="16" customHeight="1">
      <c r="B9" s="116" t="inlineStr">
        <is>
          <t>영업이익</t>
        </is>
      </c>
      <c r="E9" s="116" t="inlineStr">
        <is>
          <t>영업이익률</t>
        </is>
      </c>
    </row>
    <row r="10" ht="26" customHeight="1">
      <c r="B10" s="117">
        <f>P&amp;L!C64</f>
        <v/>
      </c>
      <c r="E10" s="118">
        <f>P&amp;L!C65</f>
        <v/>
      </c>
    </row>
    <row r="12" ht="16" customHeight="1">
      <c r="B12" s="109" t="inlineStr">
        <is>
          <t>BEP 매출</t>
        </is>
      </c>
      <c r="E12" s="109" t="inlineStr">
        <is>
          <t>BEP 달성률</t>
        </is>
      </c>
    </row>
    <row r="13" ht="26" customHeight="1">
      <c r="B13" s="111">
        <f>P&amp;L!C71</f>
        <v/>
      </c>
      <c r="E13" s="119">
        <f>P&amp;L!C73</f>
        <v/>
      </c>
    </row>
    <row r="15" ht="20" customHeight="1">
      <c r="A15" s="120" t="inlineStr">
        <is>
          <t>경영 판단 체크리스트</t>
        </is>
      </c>
    </row>
    <row r="16" ht="18" customHeight="1">
      <c r="B16" s="35" t="inlineStr">
        <is>
          <t>BEP 달성</t>
        </is>
      </c>
      <c r="E16" s="121">
        <f>IF(P&amp;L!C64&gt;=0,"✅  BEP 달성","❌  BEP 미달")</f>
        <v/>
      </c>
    </row>
    <row r="17" ht="18" customHeight="1">
      <c r="B17" s="35" t="inlineStr">
        <is>
          <t>GP 마진율 ≥ 50%</t>
        </is>
      </c>
      <c r="E17" s="121">
        <f>IF(P&amp;L!C62&gt;=0.5,"✅  양호 (≥50%)","❌  주의 (&lt;50%)")</f>
        <v/>
      </c>
    </row>
    <row r="18" ht="18" customHeight="1">
      <c r="B18" s="35" t="inlineStr">
        <is>
          <t>영업이익률 ≥ 10%</t>
        </is>
      </c>
      <c r="E18" s="121">
        <f>IF(P&amp;L!C65&gt;=0.1,"✅  양호 (≥10%)","❌  주의 (&lt;10%)")</f>
        <v/>
      </c>
    </row>
    <row r="19" ht="18" customHeight="1">
      <c r="B19" s="35" t="inlineStr">
        <is>
          <t>COS 비중 ≤ 30%</t>
        </is>
      </c>
      <c r="E19" s="121">
        <f>IF(IFERROR(INPUT_비용!G14/P&amp;L!C32,1)&lt;=0.3,"✅  양호","❌  주의")</f>
        <v/>
      </c>
    </row>
    <row r="20" ht="18" customHeight="1">
      <c r="B20" s="35" t="inlineStr">
        <is>
          <t>인건비 비중 ≤ 45%</t>
        </is>
      </c>
      <c r="E20" s="121">
        <f>IF(IFERROR(INPUT_비용!G36/P&amp;L!C32,1)&lt;=0.45,"✅  양호","❌  주의")</f>
        <v/>
      </c>
    </row>
    <row r="21" ht="18" customHeight="1">
      <c r="B21" s="35" t="inlineStr">
        <is>
          <t>임관비 비중 ≤ 25%</t>
        </is>
      </c>
      <c r="E21" s="121">
        <f>IF(IFERROR(INPUT_비용!G22/P&amp;L!C32,1)&lt;=0.25,"✅  양호","❌  주의")</f>
        <v/>
      </c>
    </row>
    <row r="22" ht="18" customHeight="1">
      <c r="B22" s="35" t="inlineStr">
        <is>
          <t>PT 매출 비중 ≥ 25%</t>
        </is>
      </c>
      <c r="E22" s="121">
        <f>IF(IFERROR(INPUT_매출!G32/P&amp;L!C32,0)&gt;=0.25,"✅  양호","❌  주의")</f>
        <v/>
      </c>
    </row>
    <row r="23" ht="18" customHeight="1">
      <c r="B23" s="35" t="inlineStr">
        <is>
          <t>구독 잔존율 ≥ 80%</t>
        </is>
      </c>
      <c r="E23" s="121">
        <f>IF(INPUT_매출!F7&gt;=80,"✅  양호","❌  주의")</f>
        <v/>
      </c>
    </row>
    <row r="24" ht="18" customHeight="1">
      <c r="B24" s="35" t="inlineStr">
        <is>
          <t>PT 전환율 ≥ 35%</t>
        </is>
      </c>
      <c r="E24" s="121">
        <f>IF(INPUT_매출!D27&gt;=35,"✅  양호","❌  주의")</f>
        <v/>
      </c>
    </row>
  </sheetData>
  <mergeCells count="36">
    <mergeCell ref="E12:F12"/>
    <mergeCell ref="B16:C16"/>
    <mergeCell ref="B7:C7"/>
    <mergeCell ref="E24:F24"/>
    <mergeCell ref="B3:C3"/>
    <mergeCell ref="B22:C22"/>
    <mergeCell ref="E23:F23"/>
    <mergeCell ref="B18:C18"/>
    <mergeCell ref="E17:F17"/>
    <mergeCell ref="B12:C12"/>
    <mergeCell ref="E4:F4"/>
    <mergeCell ref="B21:C21"/>
    <mergeCell ref="E20:F20"/>
    <mergeCell ref="E10:F10"/>
    <mergeCell ref="E19:F19"/>
    <mergeCell ref="B23:C23"/>
    <mergeCell ref="E13:F13"/>
    <mergeCell ref="B17:C17"/>
    <mergeCell ref="E9:F9"/>
    <mergeCell ref="B13:C13"/>
    <mergeCell ref="E6:F6"/>
    <mergeCell ref="B19:C19"/>
    <mergeCell ref="B10:C10"/>
    <mergeCell ref="B9:C9"/>
    <mergeCell ref="A15:F15"/>
    <mergeCell ref="B6:C6"/>
    <mergeCell ref="B24:C24"/>
    <mergeCell ref="E16:F16"/>
    <mergeCell ref="E7:F7"/>
    <mergeCell ref="A1:F1"/>
    <mergeCell ref="B20:C20"/>
    <mergeCell ref="E22:F22"/>
    <mergeCell ref="E18:F18"/>
    <mergeCell ref="B4:C4"/>
    <mergeCell ref="E3:F3"/>
    <mergeCell ref="E21:F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3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10" customWidth="1" min="18" max="18"/>
    <col width="10" customWidth="1" min="19" max="19"/>
    <col width="9" customWidth="1" min="20" max="20"/>
  </cols>
  <sheetData>
    <row r="1">
      <c r="A1" s="122" t="inlineStr">
        <is>
          <t>연도</t>
        </is>
      </c>
      <c r="B1" s="122" t="inlineStr">
        <is>
          <t>월</t>
        </is>
      </c>
      <c r="C1" s="122" t="inlineStr">
        <is>
          <t>구분(예측/실적)</t>
        </is>
      </c>
      <c r="D1" s="122" t="inlineStr">
        <is>
          <t>총매출</t>
        </is>
      </c>
      <c r="E1" s="122" t="inlineStr">
        <is>
          <t>PB매출</t>
        </is>
      </c>
      <c r="F1" s="122" t="inlineStr">
        <is>
          <t>입점업체매출</t>
        </is>
      </c>
      <c r="G1" s="122" t="inlineStr">
        <is>
          <t>COS</t>
        </is>
      </c>
      <c r="H1" s="122" t="inlineStr">
        <is>
          <t>비인건성SGA</t>
        </is>
      </c>
      <c r="I1" s="122" t="inlineStr">
        <is>
          <t>인건비성SGA</t>
        </is>
      </c>
      <c r="J1" s="122" t="inlineStr">
        <is>
          <t>총비용</t>
        </is>
      </c>
      <c r="K1" s="122" t="inlineStr">
        <is>
          <t>GrossProfit</t>
        </is>
      </c>
      <c r="L1" s="122" t="inlineStr">
        <is>
          <t>GP마진율</t>
        </is>
      </c>
      <c r="M1" s="122" t="inlineStr">
        <is>
          <t>영업이익</t>
        </is>
      </c>
      <c r="N1" s="122" t="inlineStr">
        <is>
          <t>영업이익률</t>
        </is>
      </c>
      <c r="O1" s="122" t="inlineStr">
        <is>
          <t>BEP매출</t>
        </is>
      </c>
      <c r="P1" s="122" t="inlineStr">
        <is>
          <t>BEP달성률</t>
        </is>
      </c>
      <c r="Q1" s="122" t="inlineStr">
        <is>
          <t>BEP여부</t>
        </is>
      </c>
      <c r="R1" s="122" t="inlineStr">
        <is>
          <t>구독잔존율(%)</t>
        </is>
      </c>
      <c r="S1" s="122" t="inlineStr">
        <is>
          <t>PT전환율(%)</t>
        </is>
      </c>
      <c r="T1" s="122" t="inlineStr">
        <is>
          <t>저장일자</t>
        </is>
      </c>
    </row>
    <row r="2">
      <c r="A2" s="123" t="inlineStr">
        <is>
          <t>※ 매월 P&amp;L 확정 후 3행 전체 복사 → 빈 행에 '값만 붙여넣기(Ctrl+Shift+V → 값)'하여 누적 기록하세요.</t>
        </is>
      </c>
    </row>
    <row r="3">
      <c r="A3" s="124" t="n">
        <v>2026</v>
      </c>
      <c r="B3" s="124" t="n">
        <v>4</v>
      </c>
      <c r="C3" s="125" t="inlineStr">
        <is>
          <t>예측</t>
        </is>
      </c>
      <c r="D3" s="126">
        <f>P&amp;L!C32</f>
        <v/>
      </c>
      <c r="E3" s="126">
        <f>INPUT_매출!G39</f>
        <v/>
      </c>
      <c r="F3" s="126">
        <f>INPUT_매출!G45</f>
        <v/>
      </c>
      <c r="G3" s="126">
        <f>INPUT_비용!G14</f>
        <v/>
      </c>
      <c r="H3" s="126">
        <f>INPUT_비용!G29</f>
        <v/>
      </c>
      <c r="I3" s="126">
        <f>INPUT_비용!G36</f>
        <v/>
      </c>
      <c r="J3" s="126">
        <f>INPUT_비용!G38</f>
        <v/>
      </c>
      <c r="K3" s="126">
        <f>P&amp;L!C61</f>
        <v/>
      </c>
      <c r="L3" s="127">
        <f>P&amp;L!C62</f>
        <v/>
      </c>
      <c r="M3" s="126">
        <f>P&amp;L!C64</f>
        <v/>
      </c>
      <c r="N3" s="127">
        <f>P&amp;L!C65</f>
        <v/>
      </c>
      <c r="O3" s="126">
        <f>P&amp;L!C71</f>
        <v/>
      </c>
      <c r="P3" s="127">
        <f>P&amp;L!C73</f>
        <v/>
      </c>
      <c r="Q3" s="128">
        <f>P&amp;L!C74</f>
        <v/>
      </c>
      <c r="R3" s="126">
        <f>INPUT_매출!F7</f>
        <v/>
      </c>
      <c r="S3" s="126">
        <f>INPUT_매출!D27</f>
        <v/>
      </c>
      <c r="T3" s="128">
        <f>TEXT(TODAY(),"YYYY-MM-DD")</f>
        <v/>
      </c>
    </row>
  </sheetData>
  <mergeCells count="1">
    <mergeCell ref="A2:T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2026-04-16T03:32:50Z</dcterms:created>
  <dcterms:modified xmlns:dcterms="http://purl.org/dc/terms/" xmlns:xsi="http://www.w3.org/2001/XMLSchema-instance" xsi:type="dcterms:W3CDTF">2026-04-16T03:32:51Z</dcterms:modified>
</cp:coreProperties>
</file>